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93097E8E-C805-4CDA-BB1B-F4BC00D6D4C1}" xr6:coauthVersionLast="47" xr6:coauthVersionMax="47" xr10:uidLastSave="{00000000-0000-0000-0000-000000000000}"/>
  <bookViews>
    <workbookView xWindow="15585" yWindow="570" windowWidth="12675" windowHeight="11400" xr2:uid="{BE7912C1-5EF7-4EA3-AE32-35F58EC19751}"/>
  </bookViews>
  <sheets>
    <sheet name="Hoja1" sheetId="1" r:id="rId1"/>
  </sheets>
  <functionGroups builtInGroupCount="19"/>
  <definedNames>
    <definedName name="_xlnm._FilterDatabase" localSheetId="0" hidden="1">Hoja1!$A$3:$E$103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2" i="1" l="1"/>
  <c r="F105" i="1"/>
  <c r="F106" i="1" s="1"/>
  <c r="G105" i="1"/>
  <c r="G106" i="1" s="1"/>
  <c r="D12" i="1"/>
  <c r="E12" i="1"/>
  <c r="D11" i="1"/>
  <c r="E11" i="1"/>
  <c r="E10" i="1"/>
  <c r="C105" i="1"/>
  <c r="C108" i="1" a="1"/>
  <c r="D105" i="1" l="1"/>
  <c r="D106" i="1" s="1"/>
  <c r="E105" i="1"/>
  <c r="E106" i="1" s="1"/>
  <c r="C108" i="1"/>
  <c r="E110" i="1" l="1"/>
  <c r="D1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ESTUDIANTE</author>
  </authors>
  <commentList>
    <comment ref="D4" authorId="0" shapeId="0" xr:uid="{53D4F4C3-5F93-4A86-8C95-83F8F95E8E4D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1-517</t>
        </r>
      </text>
    </comment>
    <comment ref="D5" authorId="0" shapeId="0" xr:uid="{ADADDC56-88EF-4B51-9A86-62FC65A595F0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119-512</t>
        </r>
      </text>
    </comment>
    <comment ref="E5" authorId="0" shapeId="0" xr:uid="{C48CD386-45CB-404F-9BF2-1274EBE6ECB2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1-118</t>
        </r>
      </text>
    </comment>
    <comment ref="E9" authorId="0" shapeId="0" xr:uid="{E1FFEBF1-C376-4140-827A-AC62B4E7FB84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1-3</t>
        </r>
      </text>
    </comment>
    <comment ref="E10" authorId="0" shapeId="0" xr:uid="{A0A48EB6-686E-4EB4-9107-C48436E26DBC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1-12
73-92</t>
        </r>
      </text>
    </comment>
    <comment ref="D11" authorId="0" shapeId="0" xr:uid="{BA570AE8-0532-48D7-AF91-83C3E8376447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15
20-21
25-147</t>
        </r>
      </text>
    </comment>
    <comment ref="E11" authorId="0" shapeId="0" xr:uid="{E27C5B82-E29F-450E-B4C8-7198810E5D00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1-14
16-19
22-24</t>
        </r>
      </text>
    </comment>
    <comment ref="D12" authorId="0" shapeId="0" xr:uid="{A18E04DC-2B9C-4990-B1B6-63CAAF1E0AE4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1-20
43-102
118-127
130-206</t>
        </r>
      </text>
    </comment>
    <comment ref="E12" authorId="0" shapeId="0" xr:uid="{2E1A2780-A514-441D-B069-5604F8EBBBA8}">
      <text>
        <r>
          <rPr>
            <b/>
            <sz val="9"/>
            <color indexed="81"/>
            <rFont val="Tahoma"/>
            <charset val="1"/>
          </rPr>
          <t>ESTUDIANTE:</t>
        </r>
        <r>
          <rPr>
            <sz val="9"/>
            <color indexed="81"/>
            <rFont val="Tahoma"/>
            <charset val="1"/>
          </rPr>
          <t xml:space="preserve">
21-42
103-117
128-129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<sst xmlns="http://schemas.openxmlformats.org/spreadsheetml/2006/main" count="110" uniqueCount="110">
  <si>
    <t>DATA SET:</t>
  </si>
  <si>
    <t>TrainValid</t>
  </si>
  <si>
    <t>Carpeta 1</t>
  </si>
  <si>
    <t>Carpeta 2</t>
  </si>
  <si>
    <t>Carpeta 3</t>
  </si>
  <si>
    <t>Carpeta 4</t>
  </si>
  <si>
    <t>Carpeta 5</t>
  </si>
  <si>
    <t>Carpeta 6</t>
  </si>
  <si>
    <t>Carpeta 7</t>
  </si>
  <si>
    <t>Carpeta 8</t>
  </si>
  <si>
    <t>Carpeta 9</t>
  </si>
  <si>
    <t>Carpeta 10</t>
  </si>
  <si>
    <t>Carpeta 11</t>
  </si>
  <si>
    <t>Carpeta 12</t>
  </si>
  <si>
    <t>Carpeta 13</t>
  </si>
  <si>
    <t>Carpeta 14</t>
  </si>
  <si>
    <t>Carpeta 15</t>
  </si>
  <si>
    <t>Carpeta 16</t>
  </si>
  <si>
    <t>Carpeta 17</t>
  </si>
  <si>
    <t>Carpeta 18</t>
  </si>
  <si>
    <t>Carpeta 19</t>
  </si>
  <si>
    <t>Carpeta 20</t>
  </si>
  <si>
    <t>Carpeta 21</t>
  </si>
  <si>
    <t>Carpeta 22</t>
  </si>
  <si>
    <t>Carpeta 23</t>
  </si>
  <si>
    <t>Carpeta 24</t>
  </si>
  <si>
    <t>Carpeta 25</t>
  </si>
  <si>
    <t>Carpeta 26</t>
  </si>
  <si>
    <t>Carpeta 27</t>
  </si>
  <si>
    <t>Carpeta 28</t>
  </si>
  <si>
    <t>Carpeta 29</t>
  </si>
  <si>
    <t>Carpeta 30</t>
  </si>
  <si>
    <t>Carpeta 31</t>
  </si>
  <si>
    <t>Carpeta 32</t>
  </si>
  <si>
    <t>Carpeta 33</t>
  </si>
  <si>
    <t>Carpeta 34</t>
  </si>
  <si>
    <t>Carpeta 35</t>
  </si>
  <si>
    <t>Carpeta 36</t>
  </si>
  <si>
    <t>Carpeta 37</t>
  </si>
  <si>
    <t>Carpeta 38</t>
  </si>
  <si>
    <t>Carpeta 39</t>
  </si>
  <si>
    <t>Carpeta 40</t>
  </si>
  <si>
    <t>Carpeta 41</t>
  </si>
  <si>
    <t>Carpeta 42</t>
  </si>
  <si>
    <t>Carpeta 43</t>
  </si>
  <si>
    <t>Carpeta 44</t>
  </si>
  <si>
    <t>Carpeta 45</t>
  </si>
  <si>
    <t>Carpeta 46</t>
  </si>
  <si>
    <t>Carpeta 47</t>
  </si>
  <si>
    <t>Carpeta 48</t>
  </si>
  <si>
    <t>Carpeta 49</t>
  </si>
  <si>
    <t>Carpeta 50</t>
  </si>
  <si>
    <t>Carpeta 51</t>
  </si>
  <si>
    <t>Carpeta 52</t>
  </si>
  <si>
    <t>Carpeta 53</t>
  </si>
  <si>
    <t>Carpeta 54</t>
  </si>
  <si>
    <t>Carpeta 55</t>
  </si>
  <si>
    <t>Carpeta 56</t>
  </si>
  <si>
    <t>Carpeta 57</t>
  </si>
  <si>
    <t>Carpeta 58</t>
  </si>
  <si>
    <t>Carpeta 59</t>
  </si>
  <si>
    <t>Carpeta 60</t>
  </si>
  <si>
    <t>Carpeta 61</t>
  </si>
  <si>
    <t>Carpeta 62</t>
  </si>
  <si>
    <t>Carpeta 63</t>
  </si>
  <si>
    <t>Carpeta 64</t>
  </si>
  <si>
    <t>Carpeta 65</t>
  </si>
  <si>
    <t>Carpeta 66</t>
  </si>
  <si>
    <t>Carpeta 67</t>
  </si>
  <si>
    <t>Carpeta 68</t>
  </si>
  <si>
    <t>Carpeta 69</t>
  </si>
  <si>
    <t>Carpeta 70</t>
  </si>
  <si>
    <t>Carpeta 71</t>
  </si>
  <si>
    <t>Carpeta 72</t>
  </si>
  <si>
    <t>Carpeta 73</t>
  </si>
  <si>
    <t>Carpeta 74</t>
  </si>
  <si>
    <t>Carpeta 75</t>
  </si>
  <si>
    <t>Carpeta 76</t>
  </si>
  <si>
    <t>Carpeta 77</t>
  </si>
  <si>
    <t>Carpeta 78</t>
  </si>
  <si>
    <t>Carpeta 79</t>
  </si>
  <si>
    <t>Carpeta 80</t>
  </si>
  <si>
    <t>Carpeta 81</t>
  </si>
  <si>
    <t>Carpeta 82</t>
  </si>
  <si>
    <t>Carpeta 83</t>
  </si>
  <si>
    <t>Carpeta 84</t>
  </si>
  <si>
    <t>Carpeta 85</t>
  </si>
  <si>
    <t>Carpeta 86</t>
  </si>
  <si>
    <t>Carpeta 87</t>
  </si>
  <si>
    <t>Carpeta 88</t>
  </si>
  <si>
    <t>Carpeta 89</t>
  </si>
  <si>
    <t>Carpeta 90</t>
  </si>
  <si>
    <t>Carpeta 91</t>
  </si>
  <si>
    <t>Carpeta 92</t>
  </si>
  <si>
    <t>Carpeta 93</t>
  </si>
  <si>
    <t>Carpeta 94</t>
  </si>
  <si>
    <t>Carpeta 95</t>
  </si>
  <si>
    <t>Carpeta 96</t>
  </si>
  <si>
    <t>Carpeta 97</t>
  </si>
  <si>
    <t>Carpeta 98</t>
  </si>
  <si>
    <t>Carpeta 99</t>
  </si>
  <si>
    <t>Carpeta 100</t>
  </si>
  <si>
    <t>polyps</t>
  </si>
  <si>
    <t>no- polyps</t>
  </si>
  <si>
    <t>Carpeta</t>
  </si>
  <si>
    <t>Imágenes/Carpeta</t>
  </si>
  <si>
    <t>Total</t>
  </si>
  <si>
    <t>Data set - Prueba</t>
  </si>
  <si>
    <t>Training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</si>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</sst>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0" fontId="2" fillId="3" borderId="0" applyNumberFormat="0" applyBorder="0" applyAlignment="0" applyProtection="0"/>
    <xf numFmtId="0" fontId="3" fillId="0" borderId="1" applyNumberFormat="0" applyFill="0" applyAlignment="0" applyProtection="0"/>
    <xf numFmtId="9" fontId="6" fillId="0" borderId="0" applyFont="0" applyFill="0" applyBorder="0" applyAlignment="0" applyProtection="0"/>
  </cellStyleXfs>
  <cellXfs count="7">
    <xf numFmtId="0" fontId="0" fillId="0" borderId="0" xfId="0"/>
    <xf numFmtId="0" fontId="0" fillId="2" borderId="0" xfId="0" applyFill="1"/>
    <xf numFmtId="0" fontId="2" fillId="3" borderId="0" xfId="1"/>
    <xf numFmtId="0" fontId="3" fillId="0" borderId="1" xfId="2"/>
    <xf numFmtId="0" fontId="3" fillId="0" borderId="0" xfId="0" applyFont="1"/>
    <xf numFmtId="0" fontId="0" fillId="0" borderId="0" xfId="0" applyFill="1"/>
    <xf numFmtId="9" fontId="0" fillId="0" borderId="0" xfId="3" applyFont="1"/>
  </cellXfs>
  <cellStyles count="4">
    <cellStyle name="Bueno" xfId="1" builtinId="26"/>
    <cellStyle name="Normal" xfId="0" builtinId="0"/>
    <cellStyle name="Porcentaje" xfId="3" builtinId="5"/>
    <cellStyle name="Total" xfId="2" builtinId="25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C0D55-A99C-4D7F-BE36-EFF97799BE87}">
  <sheetPr codeName="Hoja1"/>
  <dimension ref="A1:O112"/>
  <sheetViews>
    <sheetView tabSelected="1" workbookViewId="0">
      <pane ySplit="3" topLeftCell="A4" activePane="bottomLeft" state="frozen"/>
      <selection pane="bottomLeft" activeCell="D112" sqref="D112"/>
    </sheetView>
  </sheetViews>
  <sheetFormatPr baseColWidth="10" defaultRowHeight="15" outlineLevelRow="1" x14ac:dyDescent="0.25"/>
  <cols>
    <col min="2" max="2" width="16.140625" bestFit="1" customWidth="1"/>
    <col min="3" max="3" width="17.42578125" bestFit="1" customWidth="1"/>
  </cols>
  <sheetData>
    <row r="1" spans="1:15" x14ac:dyDescent="0.25">
      <c r="A1" t="s">
        <v>0</v>
      </c>
    </row>
    <row r="3" spans="1:15" x14ac:dyDescent="0.25">
      <c r="A3" s="2" t="s">
        <v>1</v>
      </c>
      <c r="B3" s="2" t="s">
        <v>104</v>
      </c>
      <c r="C3" s="2" t="s">
        <v>105</v>
      </c>
      <c r="D3" s="2" t="s">
        <v>102</v>
      </c>
      <c r="E3" s="2" t="s">
        <v>103</v>
      </c>
      <c r="F3" s="2" t="s">
        <v>108</v>
      </c>
      <c r="G3" s="2" t="s">
        <v>109</v>
      </c>
    </row>
    <row r="4" spans="1:15" x14ac:dyDescent="0.25">
      <c r="B4" t="s">
        <v>11</v>
      </c>
      <c r="C4" s="1">
        <v>517</v>
      </c>
      <c r="D4">
        <v>517</v>
      </c>
      <c r="F4">
        <v>517</v>
      </c>
    </row>
    <row r="5" spans="1:15" x14ac:dyDescent="0.25">
      <c r="B5" t="s">
        <v>13</v>
      </c>
      <c r="C5" s="1">
        <v>512</v>
      </c>
      <c r="D5">
        <v>394</v>
      </c>
      <c r="E5">
        <v>118</v>
      </c>
      <c r="F5">
        <v>512</v>
      </c>
    </row>
    <row r="6" spans="1:15" x14ac:dyDescent="0.25">
      <c r="B6" s="4" t="s">
        <v>45</v>
      </c>
      <c r="C6" s="1">
        <v>290</v>
      </c>
      <c r="D6">
        <v>290</v>
      </c>
      <c r="G6">
        <v>290</v>
      </c>
    </row>
    <row r="7" spans="1:15" x14ac:dyDescent="0.25">
      <c r="B7" t="s">
        <v>57</v>
      </c>
      <c r="C7" s="1">
        <v>73</v>
      </c>
      <c r="D7">
        <v>73</v>
      </c>
      <c r="G7">
        <v>73</v>
      </c>
    </row>
    <row r="8" spans="1:15" x14ac:dyDescent="0.25">
      <c r="B8" t="s">
        <v>58</v>
      </c>
      <c r="C8" s="1">
        <v>27</v>
      </c>
      <c r="D8">
        <v>27</v>
      </c>
      <c r="F8">
        <v>27</v>
      </c>
      <c r="N8">
        <v>517</v>
      </c>
    </row>
    <row r="9" spans="1:15" x14ac:dyDescent="0.25">
      <c r="B9" s="4" t="s">
        <v>65</v>
      </c>
      <c r="C9" s="1">
        <v>102</v>
      </c>
      <c r="D9">
        <v>99</v>
      </c>
      <c r="E9">
        <v>3</v>
      </c>
      <c r="F9">
        <v>102</v>
      </c>
      <c r="N9">
        <v>512</v>
      </c>
    </row>
    <row r="10" spans="1:15" x14ac:dyDescent="0.25">
      <c r="B10" t="s">
        <v>80</v>
      </c>
      <c r="C10" s="1">
        <v>126</v>
      </c>
      <c r="D10">
        <v>94</v>
      </c>
      <c r="E10">
        <f>12+20</f>
        <v>32</v>
      </c>
      <c r="G10">
        <v>126</v>
      </c>
      <c r="O10">
        <v>290</v>
      </c>
    </row>
    <row r="11" spans="1:15" x14ac:dyDescent="0.25">
      <c r="B11" t="s">
        <v>84</v>
      </c>
      <c r="C11" s="1">
        <v>147</v>
      </c>
      <c r="D11">
        <f>1+2+123</f>
        <v>126</v>
      </c>
      <c r="E11">
        <f>14+4+3</f>
        <v>21</v>
      </c>
      <c r="F11">
        <v>147</v>
      </c>
      <c r="O11">
        <v>73</v>
      </c>
    </row>
    <row r="12" spans="1:15" x14ac:dyDescent="0.25">
      <c r="B12" t="s">
        <v>98</v>
      </c>
      <c r="C12" s="1">
        <v>206</v>
      </c>
      <c r="D12">
        <f>20+60+10+77</f>
        <v>167</v>
      </c>
      <c r="E12">
        <f>22+15+2</f>
        <v>39</v>
      </c>
      <c r="G12">
        <v>206</v>
      </c>
      <c r="N12">
        <v>27</v>
      </c>
    </row>
    <row r="13" spans="1:15" hidden="1" outlineLevel="1" x14ac:dyDescent="0.25">
      <c r="B13" t="s">
        <v>2</v>
      </c>
      <c r="C13">
        <v>53</v>
      </c>
      <c r="N13">
        <v>102</v>
      </c>
    </row>
    <row r="14" spans="1:15" hidden="1" outlineLevel="1" x14ac:dyDescent="0.25">
      <c r="B14" t="s">
        <v>3</v>
      </c>
      <c r="C14">
        <v>205</v>
      </c>
      <c r="O14">
        <v>126</v>
      </c>
    </row>
    <row r="15" spans="1:15" hidden="1" outlineLevel="1" x14ac:dyDescent="0.25">
      <c r="B15" t="s">
        <v>4</v>
      </c>
      <c r="C15">
        <v>273</v>
      </c>
      <c r="N15">
        <v>147</v>
      </c>
    </row>
    <row r="16" spans="1:15" hidden="1" outlineLevel="1" x14ac:dyDescent="0.25">
      <c r="B16" t="s">
        <v>5</v>
      </c>
      <c r="C16">
        <v>52</v>
      </c>
      <c r="O16">
        <v>206</v>
      </c>
    </row>
    <row r="17" spans="2:3" hidden="1" outlineLevel="1" x14ac:dyDescent="0.25">
      <c r="B17" t="s">
        <v>6</v>
      </c>
      <c r="C17">
        <v>89</v>
      </c>
    </row>
    <row r="18" spans="2:3" hidden="1" outlineLevel="1" x14ac:dyDescent="0.25">
      <c r="B18" s="4" t="s">
        <v>7</v>
      </c>
      <c r="C18">
        <v>473</v>
      </c>
    </row>
    <row r="19" spans="2:3" hidden="1" outlineLevel="1" x14ac:dyDescent="0.25">
      <c r="B19" t="s">
        <v>8</v>
      </c>
      <c r="C19">
        <v>152</v>
      </c>
    </row>
    <row r="20" spans="2:3" hidden="1" outlineLevel="1" x14ac:dyDescent="0.25">
      <c r="B20" t="s">
        <v>9</v>
      </c>
      <c r="C20">
        <v>82</v>
      </c>
    </row>
    <row r="21" spans="2:3" hidden="1" outlineLevel="1" x14ac:dyDescent="0.25">
      <c r="B21" t="s">
        <v>10</v>
      </c>
      <c r="C21">
        <v>283</v>
      </c>
    </row>
    <row r="22" spans="2:3" hidden="1" outlineLevel="1" x14ac:dyDescent="0.25">
      <c r="B22" t="s">
        <v>12</v>
      </c>
      <c r="C22">
        <v>106</v>
      </c>
    </row>
    <row r="23" spans="2:3" hidden="1" outlineLevel="1" x14ac:dyDescent="0.25">
      <c r="B23" t="s">
        <v>14</v>
      </c>
      <c r="C23">
        <v>120</v>
      </c>
    </row>
    <row r="24" spans="2:3" hidden="1" outlineLevel="1" x14ac:dyDescent="0.25">
      <c r="B24" t="s">
        <v>15</v>
      </c>
      <c r="C24">
        <v>116</v>
      </c>
    </row>
    <row r="25" spans="2:3" hidden="1" outlineLevel="1" x14ac:dyDescent="0.25">
      <c r="B25" t="s">
        <v>16</v>
      </c>
      <c r="C25">
        <v>165</v>
      </c>
    </row>
    <row r="26" spans="2:3" hidden="1" outlineLevel="1" x14ac:dyDescent="0.25">
      <c r="B26" t="s">
        <v>17</v>
      </c>
      <c r="C26">
        <v>72</v>
      </c>
    </row>
    <row r="27" spans="2:3" hidden="1" outlineLevel="1" x14ac:dyDescent="0.25">
      <c r="B27" t="s">
        <v>18</v>
      </c>
      <c r="C27">
        <v>225</v>
      </c>
    </row>
    <row r="28" spans="2:3" hidden="1" outlineLevel="1" x14ac:dyDescent="0.25">
      <c r="B28" t="s">
        <v>19</v>
      </c>
      <c r="C28">
        <v>187</v>
      </c>
    </row>
    <row r="29" spans="2:3" hidden="1" outlineLevel="1" x14ac:dyDescent="0.25">
      <c r="B29" t="s">
        <v>20</v>
      </c>
      <c r="C29">
        <v>119</v>
      </c>
    </row>
    <row r="30" spans="2:3" hidden="1" outlineLevel="1" x14ac:dyDescent="0.25">
      <c r="B30" t="s">
        <v>21</v>
      </c>
      <c r="C30">
        <v>132</v>
      </c>
    </row>
    <row r="31" spans="2:3" hidden="1" outlineLevel="1" x14ac:dyDescent="0.25">
      <c r="B31" t="s">
        <v>22</v>
      </c>
      <c r="C31">
        <v>267</v>
      </c>
    </row>
    <row r="32" spans="2:3" hidden="1" outlineLevel="1" x14ac:dyDescent="0.25">
      <c r="B32" t="s">
        <v>23</v>
      </c>
      <c r="C32">
        <v>157</v>
      </c>
    </row>
    <row r="33" spans="2:3" hidden="1" outlineLevel="1" x14ac:dyDescent="0.25">
      <c r="B33" s="4" t="s">
        <v>24</v>
      </c>
      <c r="C33">
        <v>320</v>
      </c>
    </row>
    <row r="34" spans="2:3" hidden="1" outlineLevel="1" x14ac:dyDescent="0.25">
      <c r="B34" t="s">
        <v>25</v>
      </c>
      <c r="C34">
        <v>535</v>
      </c>
    </row>
    <row r="35" spans="2:3" hidden="1" outlineLevel="1" x14ac:dyDescent="0.25">
      <c r="B35" t="s">
        <v>26</v>
      </c>
      <c r="C35">
        <v>544</v>
      </c>
    </row>
    <row r="36" spans="2:3" hidden="1" outlineLevel="1" x14ac:dyDescent="0.25">
      <c r="B36" t="s">
        <v>27</v>
      </c>
      <c r="C36">
        <v>149</v>
      </c>
    </row>
    <row r="37" spans="2:3" hidden="1" outlineLevel="1" x14ac:dyDescent="0.25">
      <c r="B37" t="s">
        <v>28</v>
      </c>
      <c r="C37">
        <v>45</v>
      </c>
    </row>
    <row r="38" spans="2:3" hidden="1" outlineLevel="1" x14ac:dyDescent="0.25">
      <c r="B38" t="s">
        <v>29</v>
      </c>
      <c r="C38">
        <v>450</v>
      </c>
    </row>
    <row r="39" spans="2:3" hidden="1" outlineLevel="1" x14ac:dyDescent="0.25">
      <c r="B39" t="s">
        <v>30</v>
      </c>
      <c r="C39">
        <v>382</v>
      </c>
    </row>
    <row r="40" spans="2:3" hidden="1" outlineLevel="1" x14ac:dyDescent="0.25">
      <c r="B40" t="s">
        <v>31</v>
      </c>
      <c r="C40">
        <v>192</v>
      </c>
    </row>
    <row r="41" spans="2:3" hidden="1" outlineLevel="1" x14ac:dyDescent="0.25">
      <c r="B41" t="s">
        <v>32</v>
      </c>
      <c r="C41">
        <v>413</v>
      </c>
    </row>
    <row r="42" spans="2:3" hidden="1" outlineLevel="1" x14ac:dyDescent="0.25">
      <c r="B42" t="s">
        <v>33</v>
      </c>
      <c r="C42">
        <v>91</v>
      </c>
    </row>
    <row r="43" spans="2:3" hidden="1" outlineLevel="1" x14ac:dyDescent="0.25">
      <c r="B43" t="s">
        <v>34</v>
      </c>
      <c r="C43">
        <v>98</v>
      </c>
    </row>
    <row r="44" spans="2:3" hidden="1" outlineLevel="1" x14ac:dyDescent="0.25">
      <c r="B44" t="s">
        <v>35</v>
      </c>
      <c r="C44">
        <v>310</v>
      </c>
    </row>
    <row r="45" spans="2:3" hidden="1" outlineLevel="1" x14ac:dyDescent="0.25">
      <c r="B45" t="s">
        <v>36</v>
      </c>
      <c r="C45">
        <v>408</v>
      </c>
    </row>
    <row r="46" spans="2:3" hidden="1" outlineLevel="1" x14ac:dyDescent="0.25">
      <c r="B46" t="s">
        <v>37</v>
      </c>
      <c r="C46">
        <v>166</v>
      </c>
    </row>
    <row r="47" spans="2:3" hidden="1" outlineLevel="1" x14ac:dyDescent="0.25">
      <c r="B47" t="s">
        <v>38</v>
      </c>
      <c r="C47">
        <v>335</v>
      </c>
    </row>
    <row r="48" spans="2:3" hidden="1" outlineLevel="1" x14ac:dyDescent="0.25">
      <c r="B48" t="s">
        <v>39</v>
      </c>
      <c r="C48">
        <v>108</v>
      </c>
    </row>
    <row r="49" spans="2:3" hidden="1" outlineLevel="1" x14ac:dyDescent="0.25">
      <c r="B49" t="s">
        <v>40</v>
      </c>
      <c r="C49">
        <v>158</v>
      </c>
    </row>
    <row r="50" spans="2:3" hidden="1" outlineLevel="1" x14ac:dyDescent="0.25">
      <c r="B50" t="s">
        <v>41</v>
      </c>
      <c r="C50">
        <v>412</v>
      </c>
    </row>
    <row r="51" spans="2:3" hidden="1" outlineLevel="1" x14ac:dyDescent="0.25">
      <c r="B51" t="s">
        <v>42</v>
      </c>
      <c r="C51">
        <v>176</v>
      </c>
    </row>
    <row r="52" spans="2:3" hidden="1" outlineLevel="1" x14ac:dyDescent="0.25">
      <c r="B52" t="s">
        <v>43</v>
      </c>
      <c r="C52">
        <v>358</v>
      </c>
    </row>
    <row r="53" spans="2:3" hidden="1" outlineLevel="1" x14ac:dyDescent="0.25">
      <c r="B53" t="s">
        <v>44</v>
      </c>
      <c r="C53">
        <v>169</v>
      </c>
    </row>
    <row r="54" spans="2:3" hidden="1" outlineLevel="1" x14ac:dyDescent="0.25">
      <c r="B54" t="s">
        <v>46</v>
      </c>
      <c r="C54">
        <v>385</v>
      </c>
    </row>
    <row r="55" spans="2:3" hidden="1" outlineLevel="1" x14ac:dyDescent="0.25">
      <c r="B55" t="s">
        <v>47</v>
      </c>
      <c r="C55">
        <v>145</v>
      </c>
    </row>
    <row r="56" spans="2:3" hidden="1" outlineLevel="1" x14ac:dyDescent="0.25">
      <c r="B56" t="s">
        <v>48</v>
      </c>
      <c r="C56">
        <v>476</v>
      </c>
    </row>
    <row r="57" spans="2:3" hidden="1" outlineLevel="1" x14ac:dyDescent="0.25">
      <c r="B57" t="s">
        <v>49</v>
      </c>
      <c r="C57">
        <v>136</v>
      </c>
    </row>
    <row r="58" spans="2:3" hidden="1" outlineLevel="1" x14ac:dyDescent="0.25">
      <c r="B58" t="s">
        <v>50</v>
      </c>
      <c r="C58">
        <v>189</v>
      </c>
    </row>
    <row r="59" spans="2:3" hidden="1" outlineLevel="1" x14ac:dyDescent="0.25">
      <c r="B59" t="s">
        <v>51</v>
      </c>
      <c r="C59">
        <v>314</v>
      </c>
    </row>
    <row r="60" spans="2:3" hidden="1" outlineLevel="1" x14ac:dyDescent="0.25">
      <c r="B60" t="s">
        <v>52</v>
      </c>
      <c r="C60">
        <v>385</v>
      </c>
    </row>
    <row r="61" spans="2:3" hidden="1" outlineLevel="1" x14ac:dyDescent="0.25">
      <c r="B61" t="s">
        <v>53</v>
      </c>
      <c r="C61">
        <v>125</v>
      </c>
    </row>
    <row r="62" spans="2:3" hidden="1" outlineLevel="1" x14ac:dyDescent="0.25">
      <c r="B62" t="s">
        <v>54</v>
      </c>
      <c r="C62">
        <v>80</v>
      </c>
    </row>
    <row r="63" spans="2:3" hidden="1" outlineLevel="1" x14ac:dyDescent="0.25">
      <c r="B63" t="s">
        <v>55</v>
      </c>
      <c r="C63">
        <v>174</v>
      </c>
    </row>
    <row r="64" spans="2:3" hidden="1" outlineLevel="1" x14ac:dyDescent="0.25">
      <c r="B64" t="s">
        <v>56</v>
      </c>
      <c r="C64" s="5">
        <v>357</v>
      </c>
    </row>
    <row r="65" spans="2:3" hidden="1" outlineLevel="1" x14ac:dyDescent="0.25">
      <c r="B65" t="s">
        <v>59</v>
      </c>
      <c r="C65" s="5">
        <v>182</v>
      </c>
    </row>
    <row r="66" spans="2:3" hidden="1" outlineLevel="1" x14ac:dyDescent="0.25">
      <c r="B66" t="s">
        <v>60</v>
      </c>
      <c r="C66" s="5">
        <v>865</v>
      </c>
    </row>
    <row r="67" spans="2:3" hidden="1" outlineLevel="1" x14ac:dyDescent="0.25">
      <c r="B67" t="s">
        <v>61</v>
      </c>
      <c r="C67" s="5">
        <v>307</v>
      </c>
    </row>
    <row r="68" spans="2:3" hidden="1" outlineLevel="1" x14ac:dyDescent="0.25">
      <c r="B68" t="s">
        <v>62</v>
      </c>
      <c r="C68" s="5">
        <v>172</v>
      </c>
    </row>
    <row r="69" spans="2:3" hidden="1" outlineLevel="1" x14ac:dyDescent="0.25">
      <c r="B69" t="s">
        <v>63</v>
      </c>
      <c r="C69" s="5">
        <v>738</v>
      </c>
    </row>
    <row r="70" spans="2:3" hidden="1" outlineLevel="1" x14ac:dyDescent="0.25">
      <c r="B70" t="s">
        <v>64</v>
      </c>
      <c r="C70" s="5">
        <v>327</v>
      </c>
    </row>
    <row r="71" spans="2:3" hidden="1" outlineLevel="1" x14ac:dyDescent="0.25">
      <c r="B71" t="s">
        <v>66</v>
      </c>
      <c r="C71" s="5">
        <v>276</v>
      </c>
    </row>
    <row r="72" spans="2:3" hidden="1" outlineLevel="1" x14ac:dyDescent="0.25">
      <c r="B72" t="s">
        <v>67</v>
      </c>
      <c r="C72" s="5">
        <v>293</v>
      </c>
    </row>
    <row r="73" spans="2:3" hidden="1" outlineLevel="1" x14ac:dyDescent="0.25">
      <c r="B73" t="s">
        <v>68</v>
      </c>
      <c r="C73" s="5">
        <v>118</v>
      </c>
    </row>
    <row r="74" spans="2:3" hidden="1" outlineLevel="1" x14ac:dyDescent="0.25">
      <c r="B74" t="s">
        <v>69</v>
      </c>
      <c r="C74" s="5">
        <v>155</v>
      </c>
    </row>
    <row r="75" spans="2:3" hidden="1" outlineLevel="1" x14ac:dyDescent="0.25">
      <c r="B75" t="s">
        <v>70</v>
      </c>
      <c r="C75" s="5">
        <v>49</v>
      </c>
    </row>
    <row r="76" spans="2:3" hidden="1" outlineLevel="1" x14ac:dyDescent="0.25">
      <c r="B76" t="s">
        <v>71</v>
      </c>
      <c r="C76" s="5">
        <v>124</v>
      </c>
    </row>
    <row r="77" spans="2:3" hidden="1" outlineLevel="1" x14ac:dyDescent="0.25">
      <c r="B77" t="s">
        <v>72</v>
      </c>
      <c r="C77" s="5">
        <v>183</v>
      </c>
    </row>
    <row r="78" spans="2:3" hidden="1" outlineLevel="1" x14ac:dyDescent="0.25">
      <c r="B78" t="s">
        <v>73</v>
      </c>
      <c r="C78" s="5">
        <v>209</v>
      </c>
    </row>
    <row r="79" spans="2:3" hidden="1" outlineLevel="1" x14ac:dyDescent="0.25">
      <c r="B79" t="s">
        <v>74</v>
      </c>
      <c r="C79" s="5">
        <v>259</v>
      </c>
    </row>
    <row r="80" spans="2:3" hidden="1" outlineLevel="1" x14ac:dyDescent="0.25">
      <c r="B80" t="s">
        <v>75</v>
      </c>
      <c r="C80" s="5">
        <v>109</v>
      </c>
    </row>
    <row r="81" spans="2:3" hidden="1" outlineLevel="1" x14ac:dyDescent="0.25">
      <c r="B81" t="s">
        <v>76</v>
      </c>
      <c r="C81" s="5">
        <v>75</v>
      </c>
    </row>
    <row r="82" spans="2:3" hidden="1" outlineLevel="1" x14ac:dyDescent="0.25">
      <c r="B82" t="s">
        <v>77</v>
      </c>
      <c r="C82" s="5">
        <v>242</v>
      </c>
    </row>
    <row r="83" spans="2:3" hidden="1" outlineLevel="1" x14ac:dyDescent="0.25">
      <c r="B83" t="s">
        <v>78</v>
      </c>
      <c r="C83" s="5">
        <v>304</v>
      </c>
    </row>
    <row r="84" spans="2:3" hidden="1" outlineLevel="1" x14ac:dyDescent="0.25">
      <c r="B84" t="s">
        <v>79</v>
      </c>
      <c r="C84" s="5">
        <v>223</v>
      </c>
    </row>
    <row r="85" spans="2:3" hidden="1" outlineLevel="1" x14ac:dyDescent="0.25">
      <c r="B85" t="s">
        <v>81</v>
      </c>
      <c r="C85" s="5">
        <v>429</v>
      </c>
    </row>
    <row r="86" spans="2:3" hidden="1" outlineLevel="1" x14ac:dyDescent="0.25">
      <c r="B86" t="s">
        <v>82</v>
      </c>
      <c r="C86" s="5">
        <v>113</v>
      </c>
    </row>
    <row r="87" spans="2:3" hidden="1" outlineLevel="1" x14ac:dyDescent="0.25">
      <c r="B87" t="s">
        <v>83</v>
      </c>
      <c r="C87" s="5">
        <v>199</v>
      </c>
    </row>
    <row r="88" spans="2:3" hidden="1" outlineLevel="1" x14ac:dyDescent="0.25">
      <c r="B88" s="4" t="s">
        <v>85</v>
      </c>
      <c r="C88" s="5">
        <v>78</v>
      </c>
    </row>
    <row r="89" spans="2:3" hidden="1" outlineLevel="1" x14ac:dyDescent="0.25">
      <c r="B89" t="s">
        <v>86</v>
      </c>
      <c r="C89" s="5">
        <v>94</v>
      </c>
    </row>
    <row r="90" spans="2:3" hidden="1" outlineLevel="1" x14ac:dyDescent="0.25">
      <c r="B90" t="s">
        <v>87</v>
      </c>
      <c r="C90" s="5">
        <v>129</v>
      </c>
    </row>
    <row r="91" spans="2:3" hidden="1" outlineLevel="1" x14ac:dyDescent="0.25">
      <c r="B91" t="s">
        <v>88</v>
      </c>
      <c r="C91" s="5">
        <v>415</v>
      </c>
    </row>
    <row r="92" spans="2:3" hidden="1" outlineLevel="1" x14ac:dyDescent="0.25">
      <c r="B92" t="s">
        <v>89</v>
      </c>
      <c r="C92" s="5">
        <v>515</v>
      </c>
    </row>
    <row r="93" spans="2:3" hidden="1" outlineLevel="1" x14ac:dyDescent="0.25">
      <c r="B93" t="s">
        <v>90</v>
      </c>
      <c r="C93" s="5">
        <v>329</v>
      </c>
    </row>
    <row r="94" spans="2:3" hidden="1" outlineLevel="1" x14ac:dyDescent="0.25">
      <c r="B94" t="s">
        <v>91</v>
      </c>
      <c r="C94" s="5">
        <v>188</v>
      </c>
    </row>
    <row r="95" spans="2:3" hidden="1" outlineLevel="1" x14ac:dyDescent="0.25">
      <c r="B95" t="s">
        <v>92</v>
      </c>
      <c r="C95" s="5">
        <v>110</v>
      </c>
    </row>
    <row r="96" spans="2:3" hidden="1" outlineLevel="1" x14ac:dyDescent="0.25">
      <c r="B96" t="s">
        <v>93</v>
      </c>
      <c r="C96" s="5">
        <v>356</v>
      </c>
    </row>
    <row r="97" spans="2:7" hidden="1" outlineLevel="1" x14ac:dyDescent="0.25">
      <c r="B97" t="s">
        <v>94</v>
      </c>
      <c r="C97" s="5">
        <v>1010</v>
      </c>
    </row>
    <row r="98" spans="2:7" hidden="1" outlineLevel="1" x14ac:dyDescent="0.25">
      <c r="B98" t="s">
        <v>95</v>
      </c>
      <c r="C98" s="5">
        <v>226</v>
      </c>
    </row>
    <row r="99" spans="2:7" hidden="1" outlineLevel="1" x14ac:dyDescent="0.25">
      <c r="B99" t="s">
        <v>96</v>
      </c>
      <c r="C99" s="5">
        <v>336</v>
      </c>
    </row>
    <row r="100" spans="2:7" hidden="1" outlineLevel="1" x14ac:dyDescent="0.25">
      <c r="B100" t="s">
        <v>97</v>
      </c>
      <c r="C100" s="5">
        <v>360</v>
      </c>
    </row>
    <row r="101" spans="2:7" hidden="1" outlineLevel="1" x14ac:dyDescent="0.25">
      <c r="B101" t="s">
        <v>99</v>
      </c>
      <c r="C101" s="5">
        <v>370</v>
      </c>
    </row>
    <row r="102" spans="2:7" hidden="1" outlineLevel="1" x14ac:dyDescent="0.25">
      <c r="B102" t="s">
        <v>100</v>
      </c>
      <c r="C102" s="5">
        <v>161</v>
      </c>
    </row>
    <row r="103" spans="2:7" hidden="1" outlineLevel="1" x14ac:dyDescent="0.25">
      <c r="B103" t="s">
        <v>101</v>
      </c>
      <c r="C103" s="5">
        <v>247</v>
      </c>
    </row>
    <row r="104" spans="2:7" collapsed="1" x14ac:dyDescent="0.25"/>
    <row r="105" spans="2:7" ht="15.75" thickBot="1" x14ac:dyDescent="0.3">
      <c r="B105" t="s">
        <v>106</v>
      </c>
      <c r="C105" s="3">
        <f>SUM(C4:C104)</f>
        <v>24788</v>
      </c>
      <c r="D105" s="3">
        <f t="shared" ref="D105:G105" si="0">SUM(D4:D104)</f>
        <v>1787</v>
      </c>
      <c r="E105" s="3">
        <f t="shared" si="0"/>
        <v>213</v>
      </c>
      <c r="F105" s="3">
        <f t="shared" si="0"/>
        <v>1305</v>
      </c>
      <c r="G105" s="3">
        <f t="shared" si="0"/>
        <v>695</v>
      </c>
    </row>
    <row r="106" spans="2:7" ht="15.75" thickTop="1" x14ac:dyDescent="0.25">
      <c r="D106" s="6">
        <f>(D105/2000)</f>
        <v>0.89349999999999996</v>
      </c>
      <c r="E106" s="6">
        <f>(E105/2000)</f>
        <v>0.1065</v>
      </c>
      <c r="F106">
        <f>D110-F105</f>
        <v>-5</v>
      </c>
      <c r="G106">
        <f>E110-G105</f>
        <v>5</v>
      </c>
    </row>
    <row r="108" spans="2:7" x14ac:dyDescent="0.25">
      <c r="B108" t="s">
        <v>107</v>
      </c>
      <c r="C108" s="4" cm="1">
        <f t="array" ref="C108">SumaColor(G108,C4:C103)</f>
        <v>2000</v>
      </c>
      <c r="G108" s="1"/>
    </row>
    <row r="110" spans="2:7" x14ac:dyDescent="0.25">
      <c r="D110">
        <f>C108*65%</f>
        <v>1300</v>
      </c>
      <c r="E110">
        <f>C108*35%</f>
        <v>700</v>
      </c>
    </row>
    <row r="112" spans="2:7" x14ac:dyDescent="0.25">
      <c r="D112">
        <f>E105*20%</f>
        <v>42.6</v>
      </c>
    </row>
  </sheetData>
  <autoFilter ref="A3:E103" xr:uid="{39DC0D55-A99C-4D7F-BE36-EFF97799BE87}">
    <sortState xmlns:xlrd2="http://schemas.microsoft.com/office/spreadsheetml/2017/richdata2" ref="A4:E103">
      <sortCondition sortBy="cellColor" ref="C3:C103" dxfId="0"/>
    </sortState>
  </autoFilter>
  <phoneticPr fontId="1" type="noConversion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ESTUDIANTE</dc:creator>
  <cp:lastModifiedBy>ESTUDIANTE</cp:lastModifiedBy>
  <dcterms:created xsi:type="dcterms:W3CDTF">2024-06-15T22:18:52Z</dcterms:created>
  <dcterms:modified xsi:type="dcterms:W3CDTF">2024-06-26T17:04:37Z</dcterms:modified>
</cp:coreProperties>
</file>